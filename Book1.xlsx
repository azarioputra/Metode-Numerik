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asiswa\Downloads\"/>
    </mc:Choice>
  </mc:AlternateContent>
  <xr:revisionPtr revIDLastSave="0" documentId="13_ncr:1_{5529A978-61DE-42E4-8FCC-2111B8D9E8C7}" xr6:coauthVersionLast="45" xr6:coauthVersionMax="45" xr10:uidLastSave="{00000000-0000-0000-0000-000000000000}"/>
  <bookViews>
    <workbookView xWindow="-120" yWindow="-120" windowWidth="29040" windowHeight="15720" xr2:uid="{A453C0EE-43B2-47B7-86B2-7301A133981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3" i="1" l="1"/>
  <c r="AC3" i="1"/>
  <c r="X3" i="1"/>
  <c r="X2" i="1"/>
  <c r="X4" i="1"/>
  <c r="X5" i="1"/>
  <c r="X6" i="1"/>
  <c r="W3" i="1"/>
  <c r="W4" i="1"/>
  <c r="W5" i="1"/>
  <c r="W6" i="1"/>
  <c r="W7" i="1"/>
  <c r="W2" i="1"/>
  <c r="P4" i="1"/>
  <c r="R4" i="1" s="1"/>
  <c r="Q4" i="1"/>
  <c r="S4" i="1" s="1"/>
  <c r="R3" i="1"/>
  <c r="S3" i="1"/>
  <c r="T3" i="1" s="1"/>
  <c r="U3" i="1" s="1"/>
  <c r="Q3" i="1"/>
  <c r="P3" i="1"/>
  <c r="V2" i="1"/>
  <c r="U2" i="1"/>
  <c r="R2" i="1"/>
  <c r="S2" i="1"/>
  <c r="T2" i="1" s="1"/>
  <c r="E4" i="1"/>
  <c r="G4" i="1" s="1"/>
  <c r="I4" i="1" s="1"/>
  <c r="F4" i="1"/>
  <c r="G3" i="1"/>
  <c r="H3" i="1"/>
  <c r="I3" i="1"/>
  <c r="J3" i="1"/>
  <c r="E3" i="1"/>
  <c r="F3" i="1"/>
  <c r="L2" i="1"/>
  <c r="I2" i="1"/>
  <c r="J2" i="1"/>
  <c r="G2" i="1"/>
  <c r="H2" i="1"/>
  <c r="V4" i="1" l="1"/>
  <c r="T4" i="1"/>
  <c r="U4" i="1" s="1"/>
  <c r="V3" i="1"/>
  <c r="J4" i="1"/>
  <c r="H4" i="1"/>
  <c r="P5" i="1" l="1"/>
  <c r="Q5" i="1"/>
  <c r="S5" i="1" s="1"/>
  <c r="F5" i="1"/>
  <c r="E5" i="1"/>
  <c r="R5" i="1" l="1"/>
  <c r="H5" i="1"/>
  <c r="G5" i="1"/>
  <c r="I5" i="1" s="1"/>
  <c r="T5" i="1" l="1"/>
  <c r="U5" i="1" s="1"/>
  <c r="V5" i="1" s="1"/>
  <c r="J5" i="1"/>
  <c r="Q6" i="1" l="1"/>
  <c r="S6" i="1" s="1"/>
  <c r="P6" i="1"/>
  <c r="E6" i="1"/>
  <c r="F6" i="1"/>
  <c r="R6" i="1" l="1"/>
  <c r="G6" i="1"/>
  <c r="I6" i="1" s="1"/>
  <c r="H6" i="1"/>
  <c r="T6" i="1" l="1"/>
  <c r="U6" i="1" s="1"/>
  <c r="V6" i="1" s="1"/>
  <c r="J6" i="1"/>
  <c r="P7" i="1" l="1"/>
  <c r="Q7" i="1"/>
  <c r="S7" i="1" s="1"/>
  <c r="E7" i="1"/>
  <c r="F7" i="1"/>
  <c r="R7" i="1" l="1"/>
  <c r="T7" i="1"/>
  <c r="U7" i="1" s="1"/>
  <c r="G7" i="1"/>
  <c r="I7" i="1" s="1"/>
  <c r="J7" i="1"/>
  <c r="H7" i="1"/>
  <c r="V7" i="1" l="1"/>
  <c r="F8" i="1"/>
  <c r="E8" i="1"/>
  <c r="P8" i="1" l="1"/>
  <c r="Q8" i="1"/>
  <c r="S8" i="1" s="1"/>
  <c r="G8" i="1"/>
  <c r="I8" i="1" s="1"/>
  <c r="H8" i="1"/>
  <c r="R8" i="1" l="1"/>
  <c r="T8" i="1"/>
  <c r="U8" i="1" s="1"/>
  <c r="J8" i="1"/>
  <c r="V8" i="1" l="1"/>
  <c r="E9" i="1"/>
  <c r="F9" i="1"/>
  <c r="H9" i="1" l="1"/>
  <c r="G9" i="1"/>
  <c r="I9" i="1" s="1"/>
  <c r="J9" i="1"/>
  <c r="E10" i="1" l="1"/>
  <c r="F10" i="1"/>
  <c r="J10" i="1" l="1"/>
  <c r="G10" i="1"/>
  <c r="I10" i="1" s="1"/>
  <c r="H10" i="1"/>
  <c r="E11" i="1" l="1"/>
  <c r="F11" i="1"/>
  <c r="J11" i="1" l="1"/>
  <c r="G11" i="1"/>
  <c r="I11" i="1" s="1"/>
  <c r="H11" i="1"/>
  <c r="F12" i="1" l="1"/>
  <c r="E12" i="1"/>
  <c r="G12" i="1" l="1"/>
  <c r="I12" i="1" s="1"/>
  <c r="H12" i="1"/>
  <c r="J12" i="1"/>
  <c r="E13" i="1" l="1"/>
  <c r="F13" i="1"/>
  <c r="H13" i="1" l="1"/>
  <c r="G13" i="1"/>
  <c r="I13" i="1" s="1"/>
  <c r="J13" i="1" l="1"/>
  <c r="E14" i="1" l="1"/>
  <c r="F14" i="1"/>
  <c r="G14" i="1" l="1"/>
  <c r="I14" i="1" s="1"/>
  <c r="H14" i="1"/>
  <c r="J14" i="1" l="1"/>
  <c r="E15" i="1" l="1"/>
  <c r="F15" i="1"/>
  <c r="G15" i="1" l="1"/>
  <c r="I15" i="1" s="1"/>
  <c r="H15" i="1"/>
  <c r="J15" i="1" l="1"/>
  <c r="F16" i="1" l="1"/>
  <c r="E16" i="1"/>
  <c r="G16" i="1" l="1"/>
  <c r="I16" i="1" s="1"/>
  <c r="H16" i="1"/>
  <c r="J16" i="1"/>
  <c r="F17" i="1" l="1"/>
  <c r="E17" i="1"/>
  <c r="H17" i="1" l="1"/>
  <c r="G17" i="1"/>
  <c r="I17" i="1" s="1"/>
  <c r="J17" i="1"/>
  <c r="E18" i="1" l="1"/>
  <c r="F18" i="1"/>
  <c r="G18" i="1" l="1"/>
  <c r="I18" i="1" s="1"/>
  <c r="H18" i="1"/>
  <c r="J18" i="1" l="1"/>
  <c r="E19" i="1" l="1"/>
  <c r="F19" i="1"/>
  <c r="G19" i="1" l="1"/>
  <c r="I19" i="1" s="1"/>
  <c r="H19" i="1"/>
  <c r="J19" i="1" l="1"/>
  <c r="F20" i="1" l="1"/>
  <c r="E20" i="1"/>
  <c r="G20" i="1" l="1"/>
  <c r="I20" i="1" s="1"/>
  <c r="H20" i="1"/>
  <c r="J20" i="1" l="1"/>
</calcChain>
</file>

<file path=xl/sharedStrings.xml><?xml version="1.0" encoding="utf-8"?>
<sst xmlns="http://schemas.openxmlformats.org/spreadsheetml/2006/main" count="39" uniqueCount="25">
  <si>
    <t>(1,2)</t>
  </si>
  <si>
    <t>a</t>
  </si>
  <si>
    <t>b</t>
  </si>
  <si>
    <t>x_n</t>
  </si>
  <si>
    <t>f(x_n)</t>
  </si>
  <si>
    <t>f(a)</t>
  </si>
  <si>
    <t>Metode Bagi Dua</t>
  </si>
  <si>
    <t>interval</t>
  </si>
  <si>
    <t>S.eksak</t>
  </si>
  <si>
    <t>f(a).(x_n)</t>
  </si>
  <si>
    <t>interasi</t>
  </si>
  <si>
    <t>G hampiran</t>
  </si>
  <si>
    <t>G Biasa</t>
  </si>
  <si>
    <t>f(b)</t>
  </si>
  <si>
    <t>f(a).f(x_n)</t>
  </si>
  <si>
    <t>G ham</t>
  </si>
  <si>
    <t>f(x) =x^2-3</t>
  </si>
  <si>
    <t>Metode Posisi palsu</t>
  </si>
  <si>
    <t>MetodeNewton</t>
  </si>
  <si>
    <t>f(x)=x^2-3</t>
  </si>
  <si>
    <t>f(x = 2x)</t>
  </si>
  <si>
    <t>x_0</t>
  </si>
  <si>
    <t>1,5</t>
  </si>
  <si>
    <t>iterasi</t>
  </si>
  <si>
    <t>f'(x_n)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</si>
</sst>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7" tint="0.59999389629810485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</cellStyleXfs>
  <cellXfs count="10">
    <xf numFmtId="0" fontId="0" fillId="0" borderId="0" xfId="0"/>
    <xf numFmtId="2" fontId="0" fillId="0" borderId="0" xfId="0" applyNumberFormat="1"/>
    <xf numFmtId="166" fontId="0" fillId="0" borderId="0" xfId="0" applyNumberFormat="1"/>
    <xf numFmtId="1" fontId="0" fillId="0" borderId="0" xfId="0" applyNumberFormat="1"/>
    <xf numFmtId="166" fontId="1" fillId="3" borderId="0" xfId="2" applyNumberFormat="1"/>
    <xf numFmtId="166" fontId="0" fillId="0" borderId="0" xfId="0" applyNumberFormat="1" applyAlignment="1">
      <alignment horizontal="center"/>
    </xf>
    <xf numFmtId="166" fontId="2" fillId="2" borderId="0" xfId="1" applyNumberFormat="1"/>
    <xf numFmtId="166" fontId="2" fillId="2" borderId="0" xfId="1" applyNumberFormat="1" applyAlignment="1">
      <alignment horizontal="center"/>
    </xf>
    <xf numFmtId="166" fontId="0" fillId="3" borderId="0" xfId="2" applyNumberFormat="1" applyFont="1"/>
    <xf numFmtId="0" fontId="0" fillId="0" borderId="0" xfId="0" applyNumberFormat="1"/>
  </cellXfs>
  <cellStyles count="3">
    <cellStyle name="40% - Accent4" xfId="2" builtinId="43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Metode</a:t>
            </a:r>
            <a:r>
              <a:rPr lang="en-US" baseline="0"/>
              <a:t> Posisi palsu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4560367454068"/>
          <c:y val="0.17171296296296298"/>
          <c:w val="0.80598840769903757"/>
          <c:h val="0.62271617089530473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yVal>
            <c:numRef>
              <c:f>Sheet1!$T$2:$T$8</c:f>
              <c:numCache>
                <c:formatCode>0.000</c:formatCode>
                <c:ptCount val="7"/>
                <c:pt idx="0">
                  <c:v>1.6666666666666665</c:v>
                </c:pt>
                <c:pt idx="1">
                  <c:v>1.7272727272727273</c:v>
                </c:pt>
                <c:pt idx="2">
                  <c:v>1.7317073170731707</c:v>
                </c:pt>
                <c:pt idx="3">
                  <c:v>1.7320261437908497</c:v>
                </c:pt>
                <c:pt idx="4">
                  <c:v>1.7320490367775832</c:v>
                </c:pt>
                <c:pt idx="5">
                  <c:v>1.7320506804317222</c:v>
                </c:pt>
                <c:pt idx="6">
                  <c:v>1.73205079844084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229-40E1-AF2C-4244A89C4D6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298040015"/>
        <c:axId val="548240383"/>
      </c:scatterChart>
      <c:valAx>
        <c:axId val="298040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iterasi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240383"/>
        <c:crosses val="autoZero"/>
        <c:crossBetween val="midCat"/>
      </c:valAx>
      <c:valAx>
        <c:axId val="548240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0400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Metode</a:t>
            </a:r>
            <a:r>
              <a:rPr lang="en-US" baseline="0"/>
              <a:t> Bagi Dua</a:t>
            </a:r>
          </a:p>
        </c:rich>
      </c:tx>
      <c:layout>
        <c:manualLayout>
          <c:xMode val="edge"/>
          <c:yMode val="edge"/>
          <c:x val="0.35949300087489067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Sheet1!$G$2:$G$20</c:f>
              <c:numCache>
                <c:formatCode>0.000</c:formatCode>
                <c:ptCount val="19"/>
                <c:pt idx="0">
                  <c:v>1.5</c:v>
                </c:pt>
                <c:pt idx="1">
                  <c:v>1.75</c:v>
                </c:pt>
                <c:pt idx="2">
                  <c:v>1.875</c:v>
                </c:pt>
                <c:pt idx="3">
                  <c:v>1.9375</c:v>
                </c:pt>
                <c:pt idx="4">
                  <c:v>1.96875</c:v>
                </c:pt>
                <c:pt idx="5">
                  <c:v>1.984375</c:v>
                </c:pt>
                <c:pt idx="6">
                  <c:v>1.9921875</c:v>
                </c:pt>
                <c:pt idx="7">
                  <c:v>1.99609375</c:v>
                </c:pt>
                <c:pt idx="8">
                  <c:v>1.998046875</c:v>
                </c:pt>
                <c:pt idx="9">
                  <c:v>1.9990234375</c:v>
                </c:pt>
                <c:pt idx="10">
                  <c:v>1.99951171875</c:v>
                </c:pt>
                <c:pt idx="11">
                  <c:v>1.999755859375</c:v>
                </c:pt>
                <c:pt idx="12">
                  <c:v>1.9998779296875</c:v>
                </c:pt>
                <c:pt idx="13">
                  <c:v>1.99993896484375</c:v>
                </c:pt>
                <c:pt idx="14">
                  <c:v>1.999969482421875</c:v>
                </c:pt>
                <c:pt idx="15">
                  <c:v>1.9999847412109375</c:v>
                </c:pt>
                <c:pt idx="16">
                  <c:v>1.9999923706054688</c:v>
                </c:pt>
                <c:pt idx="17">
                  <c:v>1.9999961853027344</c:v>
                </c:pt>
                <c:pt idx="18">
                  <c:v>1.9999980926513672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9DB-4143-AB78-48D1930F58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8634735"/>
        <c:axId val="463561951"/>
      </c:scatterChart>
      <c:valAx>
        <c:axId val="478634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561951"/>
        <c:crosses val="autoZero"/>
        <c:crossBetween val="midCat"/>
      </c:valAx>
      <c:valAx>
        <c:axId val="463561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634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9</xdr:row>
      <xdr:rowOff>14287</xdr:rowOff>
    </xdr:from>
    <xdr:to>
      <xdr:col>21</xdr:col>
      <xdr:colOff>314325</xdr:colOff>
      <xdr:row>23</xdr:row>
      <xdr:rowOff>90487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2BE3372-11D3-40E1-BDAA-B7D112EE7D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457200</xdr:colOff>
      <xdr:row>20</xdr:row>
      <xdr:rowOff>100012</xdr:rowOff>
    </xdr:from>
    <xdr:to>
      <xdr:col>10</xdr:col>
      <xdr:colOff>152400</xdr:colOff>
      <xdr:row>34</xdr:row>
      <xdr:rowOff>176212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03E0164-B11E-44BA-B37C-F182578955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0A6D1-48C2-4751-A722-26DA37D366CD}">
  <dimension ref="A1:AE29"/>
  <sheetViews>
    <sheetView tabSelected="1" topLeftCell="B1" zoomScale="75" zoomScaleNormal="75" workbookViewId="0">
      <selection activeCell="AD4" sqref="AD4"/>
    </sheetView>
  </sheetViews>
  <sheetFormatPr defaultRowHeight="15" x14ac:dyDescent="0.25"/>
  <cols>
    <col min="1" max="16384" width="9.140625" style="2"/>
  </cols>
  <sheetData>
    <row r="1" spans="1:31" x14ac:dyDescent="0.25">
      <c r="A1" s="4" t="s">
        <v>6</v>
      </c>
      <c r="B1" s="4"/>
      <c r="D1" s="2" t="s">
        <v>10</v>
      </c>
      <c r="E1" s="5" t="s">
        <v>1</v>
      </c>
      <c r="F1" s="5" t="s">
        <v>2</v>
      </c>
      <c r="G1" s="5" t="s">
        <v>3</v>
      </c>
      <c r="H1" s="5" t="s">
        <v>5</v>
      </c>
      <c r="I1" s="5" t="s">
        <v>4</v>
      </c>
      <c r="J1" s="5" t="s">
        <v>9</v>
      </c>
      <c r="K1" s="5" t="s">
        <v>11</v>
      </c>
      <c r="L1" s="5" t="s">
        <v>12</v>
      </c>
      <c r="M1" s="8" t="s">
        <v>17</v>
      </c>
      <c r="N1" s="4"/>
      <c r="O1" s="2" t="s">
        <v>10</v>
      </c>
      <c r="P1" s="2" t="s">
        <v>1</v>
      </c>
      <c r="Q1" s="2" t="s">
        <v>2</v>
      </c>
      <c r="R1" s="2" t="s">
        <v>5</v>
      </c>
      <c r="S1" s="2" t="s">
        <v>13</v>
      </c>
      <c r="T1" s="2" t="s">
        <v>3</v>
      </c>
      <c r="U1" s="2" t="s">
        <v>4</v>
      </c>
      <c r="V1" s="2" t="s">
        <v>14</v>
      </c>
      <c r="W1" s="2" t="s">
        <v>15</v>
      </c>
      <c r="X1" s="2" t="s">
        <v>12</v>
      </c>
      <c r="Z1" s="2" t="s">
        <v>18</v>
      </c>
    </row>
    <row r="2" spans="1:31" x14ac:dyDescent="0.25">
      <c r="A2" s="2" t="s">
        <v>16</v>
      </c>
      <c r="D2" s="2">
        <v>0</v>
      </c>
      <c r="E2" s="5">
        <v>1</v>
      </c>
      <c r="F2" s="5">
        <v>2</v>
      </c>
      <c r="G2" s="5">
        <f>(E2+F2)/F2</f>
        <v>1.5</v>
      </c>
      <c r="H2" s="5">
        <f>(E2)^2-3</f>
        <v>-2</v>
      </c>
      <c r="I2" s="5">
        <f>(G2)^2-3</f>
        <v>-0.75</v>
      </c>
      <c r="J2" s="2">
        <f>E2*G2</f>
        <v>1.5</v>
      </c>
      <c r="L2" s="2">
        <f>($B$4-H2)/$B$4</f>
        <v>2.1547344110854505</v>
      </c>
      <c r="M2" s="2" t="s">
        <v>16</v>
      </c>
      <c r="O2" s="2">
        <v>0</v>
      </c>
      <c r="P2" s="2">
        <v>1</v>
      </c>
      <c r="Q2" s="2">
        <v>2</v>
      </c>
      <c r="R2" s="2">
        <f>P2^2-3</f>
        <v>-2</v>
      </c>
      <c r="S2" s="2">
        <f>Q2^2-3</f>
        <v>1</v>
      </c>
      <c r="T2" s="2">
        <f>P2-((Q2-P2)/(S2-R2))*R2</f>
        <v>1.6666666666666665</v>
      </c>
      <c r="U2" s="2">
        <f>T2^2-3</f>
        <v>-0.22222222222222276</v>
      </c>
      <c r="V2" s="2">
        <f>R2*U2</f>
        <v>0.44444444444444553</v>
      </c>
      <c r="W2" s="2">
        <f>ABS((T2-T3)/T3)</f>
        <v>3.5087719298245709E-2</v>
      </c>
      <c r="X2" s="2">
        <f>ABS(($N$4-T3)/$N$4)</f>
        <v>2.7293722443837709E-3</v>
      </c>
      <c r="Z2" s="2" t="s">
        <v>19</v>
      </c>
      <c r="AB2" s="2" t="s">
        <v>23</v>
      </c>
      <c r="AC2" s="2" t="s">
        <v>3</v>
      </c>
      <c r="AD2" s="2" t="s">
        <v>4</v>
      </c>
      <c r="AE2" s="2" t="s">
        <v>24</v>
      </c>
    </row>
    <row r="3" spans="1:31" x14ac:dyDescent="0.25">
      <c r="A3" s="2" t="s">
        <v>7</v>
      </c>
      <c r="B3" s="2" t="s">
        <v>0</v>
      </c>
      <c r="D3" s="2">
        <v>1</v>
      </c>
      <c r="E3" s="2">
        <f>IF(J2&lt;0,E2,G2)</f>
        <v>1.5</v>
      </c>
      <c r="F3" s="2">
        <f>IF(J2&gt;0,F2,G2)</f>
        <v>2</v>
      </c>
      <c r="G3" s="5">
        <f>(E3+F3)/F3</f>
        <v>1.75</v>
      </c>
      <c r="H3" s="5">
        <f>(E3)^2-3</f>
        <v>-0.75</v>
      </c>
      <c r="I3" s="5">
        <f>(G3)^2-3</f>
        <v>6.25E-2</v>
      </c>
      <c r="J3" s="2">
        <f>E3*G3</f>
        <v>2.625</v>
      </c>
      <c r="M3" s="2" t="s">
        <v>7</v>
      </c>
      <c r="N3" s="2" t="s">
        <v>0</v>
      </c>
      <c r="O3" s="2">
        <v>1</v>
      </c>
      <c r="P3" s="2">
        <f>IF(V2&lt;0,P2,T2)</f>
        <v>1.6666666666666665</v>
      </c>
      <c r="Q3" s="2">
        <f>IF(V2&gt;0,Q2,T2)</f>
        <v>2</v>
      </c>
      <c r="R3" s="2">
        <f>P3^2-3</f>
        <v>-0.22222222222222276</v>
      </c>
      <c r="S3" s="2">
        <f>Q3^2-3</f>
        <v>1</v>
      </c>
      <c r="T3" s="2">
        <f>P3-((Q3-P3)/(S3-R3))*R3</f>
        <v>1.7272727272727273</v>
      </c>
      <c r="U3" s="2">
        <f>T3^2-3</f>
        <v>-1.6528925619834656E-2</v>
      </c>
      <c r="V3" s="2">
        <f>R3*U3</f>
        <v>3.6730945821854882E-3</v>
      </c>
      <c r="W3" s="2">
        <f t="shared" ref="W3:W8" si="0">ABS((T3-T4)/T4)</f>
        <v>2.560819462227892E-3</v>
      </c>
      <c r="X3" s="2">
        <f>ABS(($N$4-T4)/$N$4)</f>
        <v>1.6898552357348068E-4</v>
      </c>
      <c r="Z3" s="2" t="s">
        <v>20</v>
      </c>
      <c r="AB3" s="3">
        <v>0</v>
      </c>
      <c r="AC3" s="1" t="str">
        <f>AA4</f>
        <v>1,5</v>
      </c>
      <c r="AD3" s="9" t="e">
        <f>AC3^2-3</f>
        <v>#VALUE!</v>
      </c>
    </row>
    <row r="4" spans="1:31" x14ac:dyDescent="0.25">
      <c r="A4" s="2" t="s">
        <v>8</v>
      </c>
      <c r="B4" s="2">
        <v>1.732</v>
      </c>
      <c r="D4" s="2">
        <v>2</v>
      </c>
      <c r="E4" s="2">
        <f t="shared" ref="E4:E20" si="1">IF(J3&lt;0,E3,G3)</f>
        <v>1.75</v>
      </c>
      <c r="F4" s="2">
        <f t="shared" ref="F4:F20" si="2">IF(J3&gt;0,F3,G3)</f>
        <v>2</v>
      </c>
      <c r="G4" s="5">
        <f t="shared" ref="G4:G20" si="3">(E4+F4)/F4</f>
        <v>1.875</v>
      </c>
      <c r="H4" s="5">
        <f t="shared" ref="H4:H20" si="4">(E4)^2-3</f>
        <v>6.25E-2</v>
      </c>
      <c r="I4" s="5">
        <f t="shared" ref="I4:I20" si="5">(G4)^2-3</f>
        <v>0.515625</v>
      </c>
      <c r="J4" s="2">
        <f t="shared" ref="J4:J20" si="6">E4*G4</f>
        <v>3.28125</v>
      </c>
      <c r="M4" s="2" t="s">
        <v>8</v>
      </c>
      <c r="N4" s="2">
        <v>1.732</v>
      </c>
      <c r="O4" s="2">
        <v>2</v>
      </c>
      <c r="P4" s="2">
        <f t="shared" ref="P4:P8" si="7">IF(V3&lt;0,P3,T3)</f>
        <v>1.7272727272727273</v>
      </c>
      <c r="Q4" s="2">
        <f t="shared" ref="Q4:Q8" si="8">IF(V3&gt;0,Q3,T3)</f>
        <v>2</v>
      </c>
      <c r="R4" s="2">
        <f t="shared" ref="R4:R8" si="9">P4^2-3</f>
        <v>-1.6528925619834656E-2</v>
      </c>
      <c r="S4" s="2">
        <f t="shared" ref="S4:S8" si="10">Q4^2-3</f>
        <v>1</v>
      </c>
      <c r="T4" s="2">
        <f t="shared" ref="T4:T8" si="11">P4-((Q4-P4)/(S4-R4))*R4</f>
        <v>1.7317073170731707</v>
      </c>
      <c r="U4" s="2">
        <f t="shared" ref="U4:U8" si="12">T4^2-3</f>
        <v>-1.1897679952408424E-3</v>
      </c>
      <c r="V4" s="2">
        <f t="shared" ref="V4:V8" si="13">R4*U4</f>
        <v>1.9665586698195677E-5</v>
      </c>
      <c r="W4" s="2">
        <f t="shared" si="0"/>
        <v>1.8407731247128416E-4</v>
      </c>
      <c r="X4" s="2">
        <f t="shared" ref="X3:X6" si="14">ABS(($N$4-T5)/T5)</f>
        <v>1.5094339622687607E-5</v>
      </c>
      <c r="Z4" s="2" t="s">
        <v>21</v>
      </c>
      <c r="AA4" s="2" t="s">
        <v>22</v>
      </c>
    </row>
    <row r="5" spans="1:31" x14ac:dyDescent="0.25">
      <c r="D5" s="2">
        <v>3</v>
      </c>
      <c r="E5" s="2">
        <f t="shared" si="1"/>
        <v>1.875</v>
      </c>
      <c r="F5" s="2">
        <f t="shared" si="2"/>
        <v>2</v>
      </c>
      <c r="G5" s="5">
        <f t="shared" si="3"/>
        <v>1.9375</v>
      </c>
      <c r="H5" s="5">
        <f t="shared" si="4"/>
        <v>0.515625</v>
      </c>
      <c r="I5" s="5">
        <f t="shared" si="5"/>
        <v>0.75390625</v>
      </c>
      <c r="J5" s="2">
        <f t="shared" si="6"/>
        <v>3.6328125</v>
      </c>
      <c r="O5" s="6">
        <v>3</v>
      </c>
      <c r="P5" s="6">
        <f t="shared" si="7"/>
        <v>1.7317073170731707</v>
      </c>
      <c r="Q5" s="6">
        <f t="shared" si="8"/>
        <v>2</v>
      </c>
      <c r="R5" s="6">
        <f t="shared" si="9"/>
        <v>-1.1897679952408424E-3</v>
      </c>
      <c r="S5" s="6">
        <f t="shared" si="10"/>
        <v>1</v>
      </c>
      <c r="T5" s="6">
        <f t="shared" si="11"/>
        <v>1.7320261437908497</v>
      </c>
      <c r="U5" s="6">
        <f t="shared" si="12"/>
        <v>-8.5437224998763384E-5</v>
      </c>
      <c r="V5" s="6">
        <f t="shared" si="13"/>
        <v>1.016504759057195E-7</v>
      </c>
      <c r="W5" s="2">
        <f t="shared" si="0"/>
        <v>1.3217285566005327E-5</v>
      </c>
      <c r="X5" s="2">
        <f t="shared" si="14"/>
        <v>2.8311425682495709E-5</v>
      </c>
      <c r="Z5" s="2" t="s">
        <v>8</v>
      </c>
      <c r="AA5" s="2">
        <v>1.732</v>
      </c>
    </row>
    <row r="6" spans="1:31" x14ac:dyDescent="0.25">
      <c r="D6" s="2">
        <v>4</v>
      </c>
      <c r="E6" s="2">
        <f t="shared" si="1"/>
        <v>1.9375</v>
      </c>
      <c r="F6" s="2">
        <f t="shared" si="2"/>
        <v>2</v>
      </c>
      <c r="G6" s="5">
        <f t="shared" si="3"/>
        <v>1.96875</v>
      </c>
      <c r="H6" s="5">
        <f t="shared" si="4"/>
        <v>0.75390625</v>
      </c>
      <c r="I6" s="5">
        <f t="shared" si="5"/>
        <v>0.8759765625</v>
      </c>
      <c r="J6" s="2">
        <f t="shared" si="6"/>
        <v>3.814453125</v>
      </c>
      <c r="O6" s="6">
        <v>4</v>
      </c>
      <c r="P6" s="6">
        <f t="shared" si="7"/>
        <v>1.7320261437908497</v>
      </c>
      <c r="Q6" s="6">
        <f t="shared" si="8"/>
        <v>2</v>
      </c>
      <c r="R6" s="6">
        <f t="shared" si="9"/>
        <v>-8.5437224998763384E-5</v>
      </c>
      <c r="S6" s="6">
        <f t="shared" si="10"/>
        <v>1</v>
      </c>
      <c r="T6" s="6">
        <f t="shared" si="11"/>
        <v>1.7320490367775832</v>
      </c>
      <c r="U6" s="6">
        <f t="shared" si="12"/>
        <v>-6.1341978465634384E-6</v>
      </c>
      <c r="V6" s="6">
        <f t="shared" si="13"/>
        <v>5.2408884160377034E-10</v>
      </c>
      <c r="W6" s="2">
        <f t="shared" si="0"/>
        <v>9.4896422927224018E-7</v>
      </c>
      <c r="X6" s="2">
        <f t="shared" si="14"/>
        <v>2.9260363045237696E-5</v>
      </c>
    </row>
    <row r="7" spans="1:31" x14ac:dyDescent="0.25">
      <c r="D7" s="2">
        <v>5</v>
      </c>
      <c r="E7" s="2">
        <f t="shared" si="1"/>
        <v>1.96875</v>
      </c>
      <c r="F7" s="2">
        <f t="shared" si="2"/>
        <v>2</v>
      </c>
      <c r="G7" s="5">
        <f t="shared" si="3"/>
        <v>1.984375</v>
      </c>
      <c r="H7" s="5">
        <f t="shared" si="4"/>
        <v>0.8759765625</v>
      </c>
      <c r="I7" s="5">
        <f t="shared" si="5"/>
        <v>0.937744140625</v>
      </c>
      <c r="J7" s="2">
        <f t="shared" si="6"/>
        <v>3.90673828125</v>
      </c>
      <c r="O7" s="6"/>
      <c r="P7" s="6">
        <f t="shared" si="7"/>
        <v>1.7320490367775832</v>
      </c>
      <c r="Q7" s="6">
        <f t="shared" si="8"/>
        <v>2</v>
      </c>
      <c r="R7" s="6">
        <f t="shared" si="9"/>
        <v>-6.1341978465634384E-6</v>
      </c>
      <c r="S7" s="6">
        <f t="shared" si="10"/>
        <v>1</v>
      </c>
      <c r="T7" s="6">
        <f t="shared" si="11"/>
        <v>1.7320506804317222</v>
      </c>
      <c r="U7" s="6">
        <f t="shared" si="12"/>
        <v>-4.4041600810729165E-7</v>
      </c>
      <c r="V7" s="6">
        <f t="shared" si="13"/>
        <v>2.7015989285238144E-12</v>
      </c>
      <c r="W7" s="2">
        <f t="shared" si="0"/>
        <v>6.8132596294082609E-8</v>
      </c>
    </row>
    <row r="8" spans="1:31" x14ac:dyDescent="0.25">
      <c r="D8" s="2">
        <v>6</v>
      </c>
      <c r="E8" s="2">
        <f t="shared" si="1"/>
        <v>1.984375</v>
      </c>
      <c r="F8" s="2">
        <f t="shared" si="2"/>
        <v>2</v>
      </c>
      <c r="G8" s="5">
        <f t="shared" si="3"/>
        <v>1.9921875</v>
      </c>
      <c r="H8" s="5">
        <f t="shared" si="4"/>
        <v>0.937744140625</v>
      </c>
      <c r="I8" s="5">
        <f t="shared" si="5"/>
        <v>0.96881103515625</v>
      </c>
      <c r="J8" s="2">
        <f t="shared" si="6"/>
        <v>3.9532470703125</v>
      </c>
      <c r="O8" s="6"/>
      <c r="P8" s="6">
        <f t="shared" si="7"/>
        <v>1.7320506804317222</v>
      </c>
      <c r="Q8" s="6">
        <f t="shared" si="8"/>
        <v>2</v>
      </c>
      <c r="R8" s="6">
        <f t="shared" si="9"/>
        <v>-4.4041600810729165E-7</v>
      </c>
      <c r="S8" s="6">
        <f t="shared" si="10"/>
        <v>1</v>
      </c>
      <c r="T8" s="6">
        <f t="shared" si="11"/>
        <v>1.73205079844084</v>
      </c>
      <c r="U8" s="6">
        <f t="shared" si="12"/>
        <v>-3.162044892590643E-8</v>
      </c>
      <c r="V8" s="6">
        <f t="shared" si="13"/>
        <v>1.3926151890508208E-14</v>
      </c>
    </row>
    <row r="9" spans="1:31" x14ac:dyDescent="0.25">
      <c r="D9" s="2">
        <v>7</v>
      </c>
      <c r="E9" s="2">
        <f t="shared" si="1"/>
        <v>1.9921875</v>
      </c>
      <c r="F9" s="2">
        <f t="shared" si="2"/>
        <v>2</v>
      </c>
      <c r="G9" s="5">
        <f t="shared" si="3"/>
        <v>1.99609375</v>
      </c>
      <c r="H9" s="5">
        <f t="shared" si="4"/>
        <v>0.96881103515625</v>
      </c>
      <c r="I9" s="5">
        <f t="shared" si="5"/>
        <v>0.9843902587890625</v>
      </c>
      <c r="J9" s="2">
        <f t="shared" si="6"/>
        <v>3.976593017578125</v>
      </c>
    </row>
    <row r="10" spans="1:31" x14ac:dyDescent="0.25">
      <c r="D10" s="2">
        <v>8</v>
      </c>
      <c r="E10" s="2">
        <f t="shared" si="1"/>
        <v>1.99609375</v>
      </c>
      <c r="F10" s="2">
        <f t="shared" si="2"/>
        <v>2</v>
      </c>
      <c r="G10" s="5">
        <f t="shared" si="3"/>
        <v>1.998046875</v>
      </c>
      <c r="H10" s="5">
        <f t="shared" si="4"/>
        <v>0.9843902587890625</v>
      </c>
      <c r="I10" s="5">
        <f t="shared" si="5"/>
        <v>0.99219131469726563</v>
      </c>
      <c r="J10" s="2">
        <f t="shared" si="6"/>
        <v>3.9882888793945313</v>
      </c>
    </row>
    <row r="11" spans="1:31" x14ac:dyDescent="0.25">
      <c r="D11" s="2">
        <v>9</v>
      </c>
      <c r="E11" s="2">
        <f t="shared" si="1"/>
        <v>1.998046875</v>
      </c>
      <c r="F11" s="2">
        <f t="shared" si="2"/>
        <v>2</v>
      </c>
      <c r="G11" s="5">
        <f t="shared" si="3"/>
        <v>1.9990234375</v>
      </c>
      <c r="H11" s="5">
        <f t="shared" si="4"/>
        <v>0.99219131469726563</v>
      </c>
      <c r="I11" s="5">
        <f t="shared" si="5"/>
        <v>0.99609470367431641</v>
      </c>
      <c r="J11" s="2">
        <f t="shared" si="6"/>
        <v>3.9941425323486328</v>
      </c>
    </row>
    <row r="12" spans="1:31" x14ac:dyDescent="0.25">
      <c r="D12" s="2">
        <v>10</v>
      </c>
      <c r="E12" s="2">
        <f t="shared" si="1"/>
        <v>1.9990234375</v>
      </c>
      <c r="F12" s="2">
        <f t="shared" si="2"/>
        <v>2</v>
      </c>
      <c r="G12" s="5">
        <f t="shared" si="3"/>
        <v>1.99951171875</v>
      </c>
      <c r="H12" s="5">
        <f t="shared" si="4"/>
        <v>0.99609470367431641</v>
      </c>
      <c r="I12" s="5">
        <f t="shared" si="5"/>
        <v>0.9980471134185791</v>
      </c>
      <c r="J12" s="2">
        <f t="shared" si="6"/>
        <v>3.9970707893371582</v>
      </c>
    </row>
    <row r="13" spans="1:31" x14ac:dyDescent="0.25">
      <c r="D13" s="6">
        <v>11</v>
      </c>
      <c r="E13" s="6">
        <f t="shared" si="1"/>
        <v>1.99951171875</v>
      </c>
      <c r="F13" s="6">
        <f t="shared" si="2"/>
        <v>2</v>
      </c>
      <c r="G13" s="7">
        <f t="shared" si="3"/>
        <v>1.999755859375</v>
      </c>
      <c r="H13" s="7">
        <f t="shared" si="4"/>
        <v>0.9980471134185791</v>
      </c>
      <c r="I13" s="7">
        <f t="shared" si="5"/>
        <v>0.99902349710464478</v>
      </c>
      <c r="J13" s="6">
        <f t="shared" si="6"/>
        <v>3.9985352754592896</v>
      </c>
    </row>
    <row r="14" spans="1:31" x14ac:dyDescent="0.25">
      <c r="D14" s="6">
        <v>12</v>
      </c>
      <c r="E14" s="6">
        <f t="shared" si="1"/>
        <v>1.999755859375</v>
      </c>
      <c r="F14" s="6">
        <f t="shared" si="2"/>
        <v>2</v>
      </c>
      <c r="G14" s="7">
        <f t="shared" si="3"/>
        <v>1.9998779296875</v>
      </c>
      <c r="H14" s="7">
        <f t="shared" si="4"/>
        <v>0.99902349710464478</v>
      </c>
      <c r="I14" s="7">
        <f t="shared" si="5"/>
        <v>0.99951173365116119</v>
      </c>
      <c r="J14" s="6">
        <f t="shared" si="6"/>
        <v>3.9992676079273224</v>
      </c>
    </row>
    <row r="15" spans="1:31" x14ac:dyDescent="0.25">
      <c r="D15" s="6">
        <v>13</v>
      </c>
      <c r="E15" s="6">
        <f t="shared" si="1"/>
        <v>1.9998779296875</v>
      </c>
      <c r="F15" s="6">
        <f t="shared" si="2"/>
        <v>2</v>
      </c>
      <c r="G15" s="7">
        <f t="shared" si="3"/>
        <v>1.99993896484375</v>
      </c>
      <c r="H15" s="7">
        <f t="shared" si="4"/>
        <v>0.99951173365116119</v>
      </c>
      <c r="I15" s="7">
        <f t="shared" si="5"/>
        <v>0.9997558631002903</v>
      </c>
      <c r="J15" s="6">
        <f t="shared" si="6"/>
        <v>3.9996337965130806</v>
      </c>
    </row>
    <row r="16" spans="1:31" x14ac:dyDescent="0.25">
      <c r="D16" s="6">
        <v>14</v>
      </c>
      <c r="E16" s="6">
        <f t="shared" si="1"/>
        <v>1.99993896484375</v>
      </c>
      <c r="F16" s="6">
        <f t="shared" si="2"/>
        <v>2</v>
      </c>
      <c r="G16" s="7">
        <f t="shared" si="3"/>
        <v>1.999969482421875</v>
      </c>
      <c r="H16" s="7">
        <f t="shared" si="4"/>
        <v>0.9997558631002903</v>
      </c>
      <c r="I16" s="7">
        <f t="shared" si="5"/>
        <v>0.99987793061882257</v>
      </c>
      <c r="J16" s="6">
        <f t="shared" si="6"/>
        <v>3.9998168963938951</v>
      </c>
    </row>
    <row r="17" spans="4:10" x14ac:dyDescent="0.25">
      <c r="D17" s="6">
        <v>15</v>
      </c>
      <c r="E17" s="6">
        <f t="shared" si="1"/>
        <v>1.999969482421875</v>
      </c>
      <c r="F17" s="6">
        <f t="shared" si="2"/>
        <v>2</v>
      </c>
      <c r="G17" s="7">
        <f t="shared" si="3"/>
        <v>1.9999847412109375</v>
      </c>
      <c r="H17" s="7">
        <f t="shared" si="4"/>
        <v>0.99987793061882257</v>
      </c>
      <c r="I17" s="7">
        <f t="shared" si="5"/>
        <v>0.99993896507658064</v>
      </c>
      <c r="J17" s="6">
        <f t="shared" si="6"/>
        <v>3.9999084477312863</v>
      </c>
    </row>
    <row r="18" spans="4:10" x14ac:dyDescent="0.25">
      <c r="D18" s="6">
        <v>16</v>
      </c>
      <c r="E18" s="6">
        <f t="shared" si="1"/>
        <v>1.9999847412109375</v>
      </c>
      <c r="F18" s="6">
        <f t="shared" si="2"/>
        <v>2</v>
      </c>
      <c r="G18" s="7">
        <f t="shared" si="3"/>
        <v>1.9999923706054688</v>
      </c>
      <c r="H18" s="7">
        <f t="shared" si="4"/>
        <v>0.99993896507658064</v>
      </c>
      <c r="I18" s="7">
        <f t="shared" si="5"/>
        <v>0.99996948248008266</v>
      </c>
      <c r="J18" s="6">
        <f t="shared" si="6"/>
        <v>3.9999542237492278</v>
      </c>
    </row>
    <row r="19" spans="4:10" x14ac:dyDescent="0.25">
      <c r="D19" s="6">
        <v>17</v>
      </c>
      <c r="E19" s="6">
        <f t="shared" si="1"/>
        <v>1.9999923706054688</v>
      </c>
      <c r="F19" s="6">
        <f t="shared" si="2"/>
        <v>2</v>
      </c>
      <c r="G19" s="7">
        <f t="shared" si="3"/>
        <v>1.9999961853027344</v>
      </c>
      <c r="H19" s="7">
        <f t="shared" si="4"/>
        <v>0.99996948248008266</v>
      </c>
      <c r="I19" s="7">
        <f t="shared" si="5"/>
        <v>0.99998474122548942</v>
      </c>
      <c r="J19" s="6">
        <f t="shared" si="6"/>
        <v>3.9999771118455101</v>
      </c>
    </row>
    <row r="20" spans="4:10" x14ac:dyDescent="0.25">
      <c r="D20" s="6">
        <v>18</v>
      </c>
      <c r="E20" s="6">
        <f t="shared" si="1"/>
        <v>1.9999961853027344</v>
      </c>
      <c r="F20" s="6">
        <f t="shared" si="2"/>
        <v>2</v>
      </c>
      <c r="G20" s="7">
        <f t="shared" si="3"/>
        <v>1.9999980926513672</v>
      </c>
      <c r="H20" s="7">
        <f t="shared" si="4"/>
        <v>0.99998474122548942</v>
      </c>
      <c r="I20" s="7">
        <f t="shared" si="5"/>
        <v>0.99999237060910673</v>
      </c>
      <c r="J20" s="6">
        <f t="shared" si="6"/>
        <v>3.9999885559154791</v>
      </c>
    </row>
    <row r="21" spans="4:10" x14ac:dyDescent="0.25">
      <c r="G21" s="5"/>
      <c r="H21" s="5"/>
      <c r="I21" s="5"/>
    </row>
    <row r="22" spans="4:10" x14ac:dyDescent="0.25">
      <c r="G22" s="5"/>
      <c r="H22" s="5"/>
      <c r="I22" s="5"/>
    </row>
    <row r="23" spans="4:10" x14ac:dyDescent="0.25">
      <c r="G23" s="5"/>
      <c r="H23" s="5"/>
      <c r="I23" s="5"/>
    </row>
    <row r="24" spans="4:10" x14ac:dyDescent="0.25">
      <c r="G24" s="5"/>
      <c r="H24" s="5"/>
      <c r="I24" s="5"/>
    </row>
    <row r="25" spans="4:10" x14ac:dyDescent="0.25">
      <c r="G25" s="5"/>
      <c r="H25" s="5"/>
      <c r="I25" s="5"/>
    </row>
    <row r="26" spans="4:10" x14ac:dyDescent="0.25">
      <c r="G26" s="5"/>
      <c r="H26" s="5"/>
      <c r="I26" s="5"/>
    </row>
    <row r="27" spans="4:10" x14ac:dyDescent="0.25">
      <c r="G27" s="5"/>
      <c r="H27" s="5"/>
      <c r="I27" s="5"/>
    </row>
    <row r="28" spans="4:10" x14ac:dyDescent="0.25">
      <c r="G28" s="5"/>
      <c r="H28" s="5"/>
      <c r="I28" s="5"/>
    </row>
    <row r="29" spans="4:10" x14ac:dyDescent="0.25">
      <c r="G29" s="5"/>
      <c r="H29" s="5"/>
      <c r="I29" s="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Mahasiswa</dc:creator>
  <cp:lastModifiedBy>Mahasiswa</cp:lastModifiedBy>
  <dcterms:created xsi:type="dcterms:W3CDTF">2026-09-18T06:26:48Z</dcterms:created>
  <dcterms:modified xsi:type="dcterms:W3CDTF">2026-09-18T08:17:04Z</dcterms:modified>
</cp:coreProperties>
</file>