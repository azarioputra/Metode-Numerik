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00391D0-A964-4EAC-841A-31347AE3912C}" xr6:coauthVersionLast="47" xr6:coauthVersionMax="47" xr10:uidLastSave="{00000000-0000-0000-0000-000000000000}"/>
  <bookViews>
    <workbookView xWindow="-120" yWindow="-120" windowWidth="21840" windowHeight="13140" xr2:uid="{EA21FBC5-FDE3-4C5D-A6D6-A0B89852B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3" i="1"/>
  <c r="P3" i="1"/>
  <c r="P4" i="1"/>
  <c r="P5" i="1"/>
  <c r="P6" i="1"/>
  <c r="P7" i="1"/>
  <c r="P8" i="1"/>
  <c r="P2" i="1"/>
  <c r="Q4" i="1"/>
  <c r="Q5" i="1"/>
  <c r="Q6" i="1"/>
  <c r="Q7" i="1"/>
  <c r="Q8" i="1"/>
  <c r="Q3" i="1"/>
  <c r="O4" i="1"/>
  <c r="O5" i="1"/>
  <c r="O6" i="1"/>
  <c r="O7" i="1"/>
  <c r="O8" i="1"/>
  <c r="O3" i="1"/>
  <c r="G3" i="1"/>
  <c r="G4" i="1"/>
  <c r="G5" i="1"/>
  <c r="G6" i="1"/>
  <c r="D5" i="1"/>
  <c r="E5" i="1" s="1"/>
  <c r="D6" i="1" s="1"/>
  <c r="F5" i="1"/>
  <c r="E4" i="1"/>
  <c r="F4" i="1"/>
  <c r="E3" i="1"/>
  <c r="M5" i="1"/>
  <c r="N5" i="1"/>
  <c r="M6" i="1" s="1"/>
  <c r="H2" i="1"/>
  <c r="N4" i="1"/>
  <c r="M4" i="1"/>
  <c r="N3" i="1"/>
  <c r="N2" i="1"/>
  <c r="D2" i="1"/>
  <c r="F2" i="1" s="1"/>
  <c r="E2" i="1"/>
  <c r="E6" i="1" l="1"/>
  <c r="F6" i="1"/>
  <c r="D7" i="1"/>
  <c r="N6" i="1"/>
  <c r="M7" i="1" s="1"/>
  <c r="D3" i="1"/>
  <c r="E7" i="1" l="1"/>
  <c r="D8" i="1" s="1"/>
  <c r="F7" i="1"/>
  <c r="M8" i="1"/>
  <c r="N8" i="1" s="1"/>
  <c r="N7" i="1"/>
  <c r="F3" i="1"/>
  <c r="D4" i="1" s="1"/>
  <c r="E8" i="1" l="1"/>
  <c r="D9" i="1" s="1"/>
  <c r="F8" i="1"/>
  <c r="F9" i="1" l="1"/>
  <c r="E9" i="1"/>
  <c r="D10" i="1" s="1"/>
  <c r="E10" i="1" l="1"/>
  <c r="F10" i="1"/>
  <c r="D11" i="1" s="1"/>
  <c r="F11" i="1" l="1"/>
  <c r="E11" i="1"/>
  <c r="D12" i="1" s="1"/>
  <c r="E12" i="1" l="1"/>
  <c r="F12" i="1"/>
</calcChain>
</file>

<file path=xl/sharedStrings.xml><?xml version="1.0" encoding="utf-8"?>
<sst xmlns="http://schemas.openxmlformats.org/spreadsheetml/2006/main" count="18" uniqueCount="14">
  <si>
    <t>Metode newton</t>
  </si>
  <si>
    <t>f(x) =x^2-3</t>
  </si>
  <si>
    <t>x_n</t>
  </si>
  <si>
    <t>f(x_n)</t>
  </si>
  <si>
    <t>f'(x_n)</t>
  </si>
  <si>
    <t>iterasi</t>
  </si>
  <si>
    <t>G ham</t>
  </si>
  <si>
    <t>G biasa</t>
  </si>
  <si>
    <t>Metode Secant</t>
  </si>
  <si>
    <t>f(x)=x^2-3</t>
  </si>
  <si>
    <t>n-1</t>
  </si>
  <si>
    <t>n</t>
  </si>
  <si>
    <t>n+1</t>
  </si>
  <si>
    <t>G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</si>
</sst>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Sheet1!$M$2:$M$8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1.6666666666666667</c:v>
                </c:pt>
                <c:pt idx="3">
                  <c:v>1.7272727272727273</c:v>
                </c:pt>
                <c:pt idx="4">
                  <c:v>1.7321428571428572</c:v>
                </c:pt>
                <c:pt idx="5">
                  <c:v>1.7320506804317222</c:v>
                </c:pt>
                <c:pt idx="6">
                  <c:v>1.732050807565499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8E-4B4D-9991-185EA4A9A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328384"/>
        <c:axId val="494963664"/>
      </c:scatterChart>
      <c:valAx>
        <c:axId val="49532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963664"/>
        <c:crosses val="autoZero"/>
        <c:crossBetween val="midCat"/>
      </c:valAx>
      <c:valAx>
        <c:axId val="49496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2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45603674540682"/>
          <c:y val="0.15529675480441693"/>
          <c:w val="0.82498840769903758"/>
          <c:h val="0.754172748686179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1.75</c:v>
                </c:pt>
                <c:pt idx="3">
                  <c:v>1.7321428571428572</c:v>
                </c:pt>
                <c:pt idx="4">
                  <c:v>1.7320508100147276</c:v>
                </c:pt>
                <c:pt idx="5">
                  <c:v>1.7320508075688772</c:v>
                </c:pt>
                <c:pt idx="6">
                  <c:v>1.7320508075688772</c:v>
                </c:pt>
                <c:pt idx="7">
                  <c:v>1.7320508075688772</c:v>
                </c:pt>
                <c:pt idx="8">
                  <c:v>1.7320508075688772</c:v>
                </c:pt>
                <c:pt idx="9">
                  <c:v>1.7320508075688772</c:v>
                </c:pt>
                <c:pt idx="10">
                  <c:v>1.7320508075688772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BF-4038-A5DA-C47B50D6A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328384"/>
        <c:axId val="303152400"/>
      </c:scatterChart>
      <c:valAx>
        <c:axId val="49532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52400"/>
        <c:crosses val="autoZero"/>
        <c:crossBetween val="midCat"/>
      </c:valAx>
      <c:valAx>
        <c:axId val="30315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2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8</xdr:row>
      <xdr:rowOff>90487</xdr:rowOff>
    </xdr:from>
    <xdr:to>
      <xdr:col>18</xdr:col>
      <xdr:colOff>152400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882FD-92B0-477E-BBA8-E1D605C7F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85725</xdr:colOff>
      <xdr:row>12</xdr:row>
      <xdr:rowOff>104775</xdr:rowOff>
    </xdr:from>
    <xdr:to>
      <xdr:col>8</xdr:col>
      <xdr:colOff>390525</xdr:colOff>
      <xdr:row>27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4C5A37-C49E-4FB2-8985-8FA12B186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9A45-6DC3-42DF-B9B0-18C2411DFD99}">
  <dimension ref="A1:R12"/>
  <sheetViews>
    <sheetView tabSelected="1" workbookViewId="0">
      <selection activeCell="I10" sqref="I10"/>
    </sheetView>
  </sheetViews>
  <sheetFormatPr defaultRowHeight="15" x14ac:dyDescent="0.25"/>
  <sheetData>
    <row r="1" spans="1:18" x14ac:dyDescent="0.25">
      <c r="A1" t="s">
        <v>0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L1" t="s">
        <v>5</v>
      </c>
      <c r="M1" t="s">
        <v>2</v>
      </c>
      <c r="N1" t="s">
        <v>3</v>
      </c>
      <c r="O1" t="s">
        <v>6</v>
      </c>
      <c r="P1" t="s">
        <v>13</v>
      </c>
    </row>
    <row r="2" spans="1:18" x14ac:dyDescent="0.25">
      <c r="A2" t="s">
        <v>1</v>
      </c>
      <c r="C2">
        <v>0</v>
      </c>
      <c r="D2">
        <f>B3</f>
        <v>1</v>
      </c>
      <c r="E2">
        <f>B3^2-3</f>
        <v>-2</v>
      </c>
      <c r="F2">
        <f>2*D2</f>
        <v>2</v>
      </c>
      <c r="H2">
        <f>ABS($B$4-D3)/$B$4</f>
        <v>0.15473441108545036</v>
      </c>
      <c r="I2" t="s">
        <v>9</v>
      </c>
      <c r="K2" t="s">
        <v>10</v>
      </c>
      <c r="L2">
        <v>0</v>
      </c>
      <c r="M2">
        <v>1</v>
      </c>
      <c r="N2">
        <f>M2^2-3</f>
        <v>-2</v>
      </c>
      <c r="P2">
        <f>ABS($J$3-M2)/$J$3</f>
        <v>0.42263279445727481</v>
      </c>
    </row>
    <row r="3" spans="1:18" x14ac:dyDescent="0.25">
      <c r="B3">
        <v>1</v>
      </c>
      <c r="C3">
        <v>1</v>
      </c>
      <c r="D3">
        <f>D2-(E2/F2)</f>
        <v>2</v>
      </c>
      <c r="E3">
        <f>D3^2-3</f>
        <v>1</v>
      </c>
      <c r="F3">
        <f t="shared" ref="F3:F6" si="0">2*D3</f>
        <v>4</v>
      </c>
      <c r="G3">
        <f>ABS(D3-D2)/D2</f>
        <v>1</v>
      </c>
      <c r="J3">
        <v>1.732</v>
      </c>
      <c r="K3" t="s">
        <v>11</v>
      </c>
      <c r="L3">
        <v>1</v>
      </c>
      <c r="M3">
        <v>2</v>
      </c>
      <c r="N3">
        <f>M3^2-3</f>
        <v>1</v>
      </c>
      <c r="O3">
        <f>ABS(M2-M3)/M3</f>
        <v>0.5</v>
      </c>
      <c r="P3">
        <f t="shared" ref="P3:P8" si="1">ABS($J$3-M3)/$J$3</f>
        <v>0.15473441108545036</v>
      </c>
      <c r="Q3" s="2">
        <f>O3</f>
        <v>0.5</v>
      </c>
      <c r="R3" s="2">
        <f>P2</f>
        <v>0.42263279445727481</v>
      </c>
    </row>
    <row r="4" spans="1:18" x14ac:dyDescent="0.25">
      <c r="B4">
        <v>1.732</v>
      </c>
      <c r="C4">
        <v>2</v>
      </c>
      <c r="D4">
        <f t="shared" ref="D4:D6" si="2">D3-(E3/F3)</f>
        <v>1.75</v>
      </c>
      <c r="E4">
        <f t="shared" ref="E4:E12" si="3">D4^2-3</f>
        <v>6.25E-2</v>
      </c>
      <c r="F4">
        <f t="shared" ref="F4:F7" si="4">2*D4</f>
        <v>3.5</v>
      </c>
      <c r="G4">
        <f t="shared" ref="G4:G6" si="5">ABS(D4-D3)/D3</f>
        <v>0.125</v>
      </c>
      <c r="K4" t="s">
        <v>12</v>
      </c>
      <c r="L4">
        <v>2</v>
      </c>
      <c r="M4">
        <f>M3-(((N3*(M3-M2))/(N3-N2)))</f>
        <v>1.6666666666666667</v>
      </c>
      <c r="N4">
        <f>M4^2-3</f>
        <v>-0.22222222222222188</v>
      </c>
      <c r="O4">
        <f t="shared" ref="O4:O8" si="6">ABS(M3-M4)/M4</f>
        <v>0.19999999999999996</v>
      </c>
      <c r="P4">
        <f t="shared" si="1"/>
        <v>3.7721324095457996E-2</v>
      </c>
      <c r="Q4" s="2">
        <f t="shared" ref="Q4:Q8" si="7">O4</f>
        <v>0.19999999999999996</v>
      </c>
      <c r="R4" s="2">
        <f t="shared" ref="R4:R8" si="8">P3</f>
        <v>0.15473441108545036</v>
      </c>
    </row>
    <row r="5" spans="1:18" x14ac:dyDescent="0.25">
      <c r="C5">
        <v>3</v>
      </c>
      <c r="D5">
        <f t="shared" ref="D5:D12" si="9">D4-(E4/F4)</f>
        <v>1.7321428571428572</v>
      </c>
      <c r="E5">
        <f t="shared" si="3"/>
        <v>3.1887755102077975E-4</v>
      </c>
      <c r="F5">
        <f t="shared" ref="F5:F12" si="10">2*D5</f>
        <v>3.4642857142857144</v>
      </c>
      <c r="G5">
        <f t="shared" si="5"/>
        <v>1.0204081632653026E-2</v>
      </c>
      <c r="L5">
        <v>3</v>
      </c>
      <c r="M5">
        <f t="shared" ref="M5:M8" si="11">M4-(((N4*(M4-M3))/(N4-N3)))</f>
        <v>1.7272727272727273</v>
      </c>
      <c r="N5">
        <f t="shared" ref="N5:N8" si="12">M5^2-3</f>
        <v>-1.6528925619834656E-2</v>
      </c>
      <c r="O5">
        <f t="shared" si="6"/>
        <v>3.5087719298245584E-2</v>
      </c>
      <c r="P5">
        <f t="shared" si="1"/>
        <v>2.7293722443837709E-3</v>
      </c>
      <c r="Q5" s="2">
        <f t="shared" si="7"/>
        <v>3.5087719298245584E-2</v>
      </c>
      <c r="R5" s="2">
        <f t="shared" si="8"/>
        <v>3.7721324095457996E-2</v>
      </c>
    </row>
    <row r="6" spans="1:18" x14ac:dyDescent="0.25">
      <c r="C6" s="1">
        <v>4</v>
      </c>
      <c r="D6" s="1">
        <f t="shared" si="9"/>
        <v>1.7320508100147276</v>
      </c>
      <c r="E6" s="1">
        <f t="shared" si="3"/>
        <v>8.4726741178542397E-9</v>
      </c>
      <c r="F6" s="1">
        <f t="shared" si="10"/>
        <v>3.4641016200294552</v>
      </c>
      <c r="G6" s="1">
        <f t="shared" si="5"/>
        <v>5.3140610054203229E-5</v>
      </c>
      <c r="L6">
        <v>4</v>
      </c>
      <c r="M6">
        <f t="shared" si="11"/>
        <v>1.7321428571428572</v>
      </c>
      <c r="N6">
        <f t="shared" si="12"/>
        <v>3.1887755102077975E-4</v>
      </c>
      <c r="O6">
        <f t="shared" si="6"/>
        <v>2.811621368322424E-3</v>
      </c>
      <c r="P6">
        <f t="shared" si="1"/>
        <v>8.2481029363292314E-5</v>
      </c>
      <c r="Q6" s="2">
        <f t="shared" si="7"/>
        <v>2.811621368322424E-3</v>
      </c>
      <c r="R6" s="2">
        <f t="shared" si="8"/>
        <v>2.7293722443837709E-3</v>
      </c>
    </row>
    <row r="7" spans="1:18" x14ac:dyDescent="0.25">
      <c r="C7" s="1">
        <v>5</v>
      </c>
      <c r="D7" s="1">
        <f t="shared" si="9"/>
        <v>1.7320508075688772</v>
      </c>
      <c r="E7" s="1">
        <f t="shared" si="3"/>
        <v>0</v>
      </c>
      <c r="F7" s="1">
        <f t="shared" si="10"/>
        <v>3.4641016151377544</v>
      </c>
      <c r="G7" s="1"/>
      <c r="L7" s="1">
        <v>5</v>
      </c>
      <c r="M7" s="1">
        <f t="shared" si="11"/>
        <v>1.7320506804317222</v>
      </c>
      <c r="N7" s="1">
        <f t="shared" si="12"/>
        <v>-4.4041600810729165E-7</v>
      </c>
      <c r="O7">
        <f t="shared" si="6"/>
        <v>5.32182528931911E-5</v>
      </c>
      <c r="P7">
        <f t="shared" si="1"/>
        <v>2.9261219239135781E-5</v>
      </c>
      <c r="Q7" s="2">
        <f t="shared" si="7"/>
        <v>5.32182528931911E-5</v>
      </c>
      <c r="R7" s="2">
        <f t="shared" si="8"/>
        <v>8.2481029363292314E-5</v>
      </c>
    </row>
    <row r="8" spans="1:18" x14ac:dyDescent="0.25">
      <c r="D8">
        <f t="shared" si="9"/>
        <v>1.7320508075688772</v>
      </c>
      <c r="E8">
        <f t="shared" si="3"/>
        <v>0</v>
      </c>
      <c r="F8">
        <f t="shared" si="10"/>
        <v>3.4641016151377544</v>
      </c>
      <c r="L8" s="1">
        <v>6</v>
      </c>
      <c r="M8" s="1">
        <f t="shared" si="11"/>
        <v>1.732050807565499</v>
      </c>
      <c r="N8" s="1">
        <f t="shared" si="12"/>
        <v>-1.170263885796885E-11</v>
      </c>
      <c r="O8">
        <f t="shared" si="6"/>
        <v>7.3400720281448455E-8</v>
      </c>
      <c r="P8">
        <f t="shared" si="1"/>
        <v>2.9334622112599622E-5</v>
      </c>
      <c r="Q8" s="2">
        <f t="shared" si="7"/>
        <v>7.3400720281448455E-8</v>
      </c>
      <c r="R8" s="2">
        <f t="shared" si="8"/>
        <v>2.9261219239135781E-5</v>
      </c>
    </row>
    <row r="9" spans="1:18" x14ac:dyDescent="0.25">
      <c r="D9">
        <f t="shared" si="9"/>
        <v>1.7320508075688772</v>
      </c>
      <c r="E9">
        <f t="shared" si="3"/>
        <v>0</v>
      </c>
      <c r="F9">
        <f t="shared" si="10"/>
        <v>3.4641016151377544</v>
      </c>
    </row>
    <row r="10" spans="1:18" x14ac:dyDescent="0.25">
      <c r="D10">
        <f t="shared" si="9"/>
        <v>1.7320508075688772</v>
      </c>
      <c r="E10">
        <f t="shared" si="3"/>
        <v>0</v>
      </c>
      <c r="F10">
        <f t="shared" si="10"/>
        <v>3.4641016151377544</v>
      </c>
    </row>
    <row r="11" spans="1:18" x14ac:dyDescent="0.25">
      <c r="D11">
        <f t="shared" si="9"/>
        <v>1.7320508075688772</v>
      </c>
      <c r="E11">
        <f t="shared" si="3"/>
        <v>0</v>
      </c>
      <c r="F11">
        <f t="shared" si="10"/>
        <v>3.4641016151377544</v>
      </c>
    </row>
    <row r="12" spans="1:18" x14ac:dyDescent="0.25">
      <c r="D12">
        <f t="shared" si="9"/>
        <v>1.7320508075688772</v>
      </c>
      <c r="E12">
        <f t="shared" si="3"/>
        <v>0</v>
      </c>
      <c r="F12">
        <f t="shared" si="10"/>
        <v>3.4641016151377544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2026-09-18T07:55:19Z</dcterms:created>
  <dcterms:modified xsi:type="dcterms:W3CDTF">2026-09-18T08:31:14Z</dcterms:modified>
</cp:coreProperties>
</file>